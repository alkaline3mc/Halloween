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480" yWindow="405" windowWidth="20835" windowHeight="11790" activeTab="1"/>
  </bookViews>
  <sheets>
    <sheet name="Size &amp; Lengths" sheetId="1" r:id="rId1"/>
    <sheet name="BOM" sheetId="2" r:id="rId2"/>
  </sheets>
  <calcPr calcId="125725"/>
</workbook>
</file>

<file path=xl/calcChain.xml><?xml version="1.0" encoding="utf-8"?>
<calcChain xmlns="http://schemas.openxmlformats.org/spreadsheetml/2006/main">
  <c r="H4" i="2"/>
  <c r="F4"/>
  <c r="E9" i="1"/>
  <c r="E10"/>
  <c r="E11"/>
  <c r="D11"/>
  <c r="D10"/>
  <c r="D9"/>
  <c r="D12"/>
  <c r="E12"/>
  <c r="F3" i="2"/>
  <c r="D15" i="1"/>
  <c r="E15"/>
  <c r="E5"/>
  <c r="E6"/>
  <c r="E4"/>
  <c r="B2"/>
  <c r="D6"/>
  <c r="D7"/>
  <c r="E7" s="1"/>
  <c r="D8"/>
  <c r="E8" s="1"/>
  <c r="D13"/>
  <c r="E13" s="1"/>
  <c r="D14"/>
  <c r="E14" s="1"/>
</calcChain>
</file>

<file path=xl/sharedStrings.xml><?xml version="1.0" encoding="utf-8"?>
<sst xmlns="http://schemas.openxmlformats.org/spreadsheetml/2006/main" count="29" uniqueCount="28">
  <si>
    <t>0.63"</t>
  </si>
  <si>
    <t>Neck</t>
  </si>
  <si>
    <t>Torso</t>
  </si>
  <si>
    <t>Humerus</t>
  </si>
  <si>
    <t>Forearm</t>
  </si>
  <si>
    <t>Height</t>
  </si>
  <si>
    <t>Width</t>
  </si>
  <si>
    <t>Head</t>
  </si>
  <si>
    <t>Diameter</t>
  </si>
  <si>
    <t>Scale Factor</t>
  </si>
  <si>
    <t>Total Height</t>
  </si>
  <si>
    <t>Target Height</t>
  </si>
  <si>
    <t>Leg Full</t>
  </si>
  <si>
    <t>BOM</t>
  </si>
  <si>
    <t>Locking Clutch</t>
  </si>
  <si>
    <t>http://www.bhphotovideo.com/c/product/400142-REG/On_Stage_MSA_9501_Posi_Lok_Clutch.html/prm/alsVwDtl</t>
  </si>
  <si>
    <t>Item</t>
  </si>
  <si>
    <t>URL</t>
  </si>
  <si>
    <t>Cost</t>
  </si>
  <si>
    <t>Rqd</t>
  </si>
  <si>
    <t>Total</t>
  </si>
  <si>
    <t>Weight</t>
  </si>
  <si>
    <t>Arm Full</t>
  </si>
  <si>
    <t>Lower Torso</t>
  </si>
  <si>
    <t>Midsection</t>
  </si>
  <si>
    <t>Upper Torso</t>
  </si>
  <si>
    <t>Jack Fabric</t>
  </si>
  <si>
    <t>Shipping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</si>
</sst>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15"/>
  <sheetViews>
    <sheetView workbookViewId="0">
      <selection activeCell="G11" sqref="G11"/>
    </sheetView>
  </sheetViews>
  <sheetFormatPr defaultRowHeight="15"/>
  <cols>
    <col min="5" max="5" width="11.7109375" customWidth="1"/>
  </cols>
  <sheetData>
    <row r="1" spans="1:5">
      <c r="A1" t="s">
        <v>11</v>
      </c>
      <c r="B1">
        <v>84</v>
      </c>
    </row>
    <row r="2" spans="1:5">
      <c r="A2" t="s">
        <v>9</v>
      </c>
      <c r="B2">
        <f>B1/D6</f>
        <v>13.614262560777957</v>
      </c>
    </row>
    <row r="3" spans="1:5">
      <c r="B3" t="s">
        <v>8</v>
      </c>
    </row>
    <row r="4" spans="1:5">
      <c r="A4" t="s">
        <v>7</v>
      </c>
      <c r="B4" t="s">
        <v>0</v>
      </c>
      <c r="D4">
        <v>0.63</v>
      </c>
      <c r="E4">
        <f>D4*$B$2</f>
        <v>8.5769854132901138</v>
      </c>
    </row>
    <row r="5" spans="1:5">
      <c r="B5" t="s">
        <v>5</v>
      </c>
      <c r="C5" t="s">
        <v>6</v>
      </c>
      <c r="E5">
        <f t="shared" ref="E5:E15" si="0">D5*$B$2</f>
        <v>0</v>
      </c>
    </row>
    <row r="6" spans="1:5">
      <c r="A6" t="s">
        <v>10</v>
      </c>
      <c r="B6">
        <v>6.17</v>
      </c>
      <c r="C6">
        <v>0</v>
      </c>
      <c r="D6">
        <f t="shared" ref="D6:D13" si="1">(SQRT((B6*B6)+(C6*C6)))</f>
        <v>6.17</v>
      </c>
      <c r="E6">
        <f t="shared" si="0"/>
        <v>84</v>
      </c>
    </row>
    <row r="7" spans="1:5">
      <c r="A7" t="s">
        <v>1</v>
      </c>
      <c r="B7">
        <v>0.15</v>
      </c>
      <c r="C7">
        <v>0.02</v>
      </c>
      <c r="D7">
        <f t="shared" si="1"/>
        <v>0.15132745950421556</v>
      </c>
      <c r="E7">
        <f t="shared" si="0"/>
        <v>2.0602117663458843</v>
      </c>
    </row>
    <row r="8" spans="1:5">
      <c r="A8" t="s">
        <v>2</v>
      </c>
      <c r="B8">
        <v>0.4</v>
      </c>
      <c r="C8">
        <v>1.66</v>
      </c>
      <c r="D8">
        <f t="shared" si="1"/>
        <v>1.7075128110793196</v>
      </c>
      <c r="E8">
        <f t="shared" si="0"/>
        <v>23.246527735925905</v>
      </c>
    </row>
    <row r="9" spans="1:5">
      <c r="A9" t="s">
        <v>25</v>
      </c>
      <c r="D9">
        <f>D8/3</f>
        <v>0.56917093702643984</v>
      </c>
      <c r="E9">
        <f t="shared" si="0"/>
        <v>7.7488425786419688</v>
      </c>
    </row>
    <row r="10" spans="1:5">
      <c r="A10" t="s">
        <v>24</v>
      </c>
      <c r="D10">
        <f>D8/3</f>
        <v>0.56917093702643984</v>
      </c>
      <c r="E10">
        <f t="shared" si="0"/>
        <v>7.7488425786419688</v>
      </c>
    </row>
    <row r="11" spans="1:5">
      <c r="A11" t="s">
        <v>23</v>
      </c>
      <c r="D11">
        <f>D8/3</f>
        <v>0.56917093702643984</v>
      </c>
      <c r="E11">
        <f t="shared" si="0"/>
        <v>7.7488425786419688</v>
      </c>
    </row>
    <row r="12" spans="1:5">
      <c r="A12" t="s">
        <v>22</v>
      </c>
      <c r="D12">
        <f>D13+D14</f>
        <v>2.8120455188349989</v>
      </c>
      <c r="E12">
        <f t="shared" si="0"/>
        <v>38.283926026278749</v>
      </c>
    </row>
    <row r="13" spans="1:5">
      <c r="A13" t="s">
        <v>3</v>
      </c>
      <c r="B13">
        <v>0.13</v>
      </c>
      <c r="C13">
        <v>1.4</v>
      </c>
      <c r="D13">
        <f t="shared" si="1"/>
        <v>1.4060227594174994</v>
      </c>
      <c r="E13">
        <f t="shared" si="0"/>
        <v>19.141963013139375</v>
      </c>
    </row>
    <row r="14" spans="1:5">
      <c r="A14" t="s">
        <v>4</v>
      </c>
      <c r="B14">
        <v>0.13</v>
      </c>
      <c r="C14">
        <v>1.4</v>
      </c>
      <c r="D14">
        <f>(SQRT((B14*B14)+(C14*C14)))</f>
        <v>1.4060227594174994</v>
      </c>
      <c r="E14">
        <f t="shared" si="0"/>
        <v>19.141963013139375</v>
      </c>
    </row>
    <row r="15" spans="1:5">
      <c r="A15" t="s">
        <v>12</v>
      </c>
      <c r="B15">
        <v>3.76</v>
      </c>
      <c r="C15">
        <v>0.85</v>
      </c>
      <c r="D15">
        <f>(SQRT((B15*B15)+(C15*C15)))</f>
        <v>3.854880024073382</v>
      </c>
      <c r="E15">
        <f t="shared" si="0"/>
        <v>52.481348788033074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4"/>
  <sheetViews>
    <sheetView tabSelected="1" workbookViewId="0">
      <selection activeCell="J8" sqref="J8"/>
    </sheetView>
  </sheetViews>
  <sheetFormatPr defaultRowHeight="15"/>
  <sheetData>
    <row r="1" spans="1:8">
      <c r="A1" t="s">
        <v>13</v>
      </c>
    </row>
    <row r="2" spans="1:8">
      <c r="A2" t="s">
        <v>16</v>
      </c>
      <c r="B2" t="s">
        <v>17</v>
      </c>
      <c r="C2" t="s">
        <v>21</v>
      </c>
      <c r="D2" t="s">
        <v>18</v>
      </c>
      <c r="E2" t="s">
        <v>19</v>
      </c>
      <c r="F2" t="s">
        <v>20</v>
      </c>
      <c r="G2" t="s">
        <v>27</v>
      </c>
      <c r="H2" t="s">
        <v>20</v>
      </c>
    </row>
    <row r="3" spans="1:8">
      <c r="A3" t="s">
        <v>14</v>
      </c>
      <c r="B3" t="s">
        <v>15</v>
      </c>
      <c r="D3">
        <v>6.46</v>
      </c>
      <c r="E3">
        <v>4</v>
      </c>
      <c r="F3">
        <f>D3*E3</f>
        <v>25.84</v>
      </c>
    </row>
    <row r="4" spans="1:8">
      <c r="A4" t="s">
        <v>26</v>
      </c>
      <c r="D4">
        <v>17.5</v>
      </c>
      <c r="E4">
        <v>3</v>
      </c>
      <c r="F4">
        <f>D4*E4</f>
        <v>52.5</v>
      </c>
      <c r="G4">
        <v>6</v>
      </c>
      <c r="H4">
        <f>F4+G4</f>
        <v>58.5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Size &amp; Lengths</vt:lpstr>
      <vt:lpstr>BOM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James Connolly</dc:creator>
  <cp:lastModifiedBy>Matthew James Connolly</cp:lastModifiedBy>
  <dcterms:created xsi:type="dcterms:W3CDTF">2015-10-05T21:07:52Z</dcterms:created>
  <dcterms:modified xsi:type="dcterms:W3CDTF">2015-10-05T23:32:43Z</dcterms:modified>
</cp:coreProperties>
</file>