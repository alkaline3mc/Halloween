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9320" windowHeight="9315" activeTab="1"/>
  </bookViews>
  <sheets>
    <sheet name="Size &amp; Lengths" sheetId="1" r:id="rId1"/>
    <sheet name="BOM" sheetId="2" r:id="rId2"/>
  </sheets>
  <calcPr calcId="125725"/>
</workbook>
</file>

<file path=xl/calcChain.xml><?xml version="1.0" encoding="utf-8"?>
<calcChain xmlns="http://schemas.openxmlformats.org/spreadsheetml/2006/main">
  <c r="I6" i="2"/>
  <c r="I11"/>
  <c r="H6"/>
  <c r="F6"/>
  <c r="H5"/>
  <c r="I4"/>
  <c r="F5"/>
  <c r="I5" s="1"/>
  <c r="H4"/>
  <c r="F4"/>
  <c r="H4" i="1"/>
  <c r="B2"/>
  <c r="F3" i="2"/>
  <c r="I3" s="1"/>
  <c r="C13" i="1" l="1"/>
  <c r="C17"/>
  <c r="C18"/>
  <c r="C14"/>
  <c r="C10"/>
  <c r="C12"/>
  <c r="C15"/>
  <c r="C16"/>
  <c r="C19"/>
  <c r="C20"/>
  <c r="C4"/>
  <c r="C21"/>
  <c r="C23"/>
  <c r="C9"/>
  <c r="C25"/>
  <c r="C22"/>
  <c r="C24"/>
  <c r="C11"/>
</calcChain>
</file>

<file path=xl/sharedStrings.xml><?xml version="1.0" encoding="utf-8"?>
<sst xmlns="http://schemas.openxmlformats.org/spreadsheetml/2006/main" count="41" uniqueCount="40">
  <si>
    <t>Neck</t>
  </si>
  <si>
    <t>Torso</t>
  </si>
  <si>
    <t>Humerus</t>
  </si>
  <si>
    <t>Forearm</t>
  </si>
  <si>
    <t>Diameter</t>
  </si>
  <si>
    <t>Scale Factor</t>
  </si>
  <si>
    <t>Total Height</t>
  </si>
  <si>
    <t>Target Height</t>
  </si>
  <si>
    <t>Leg Full</t>
  </si>
  <si>
    <t>BOM</t>
  </si>
  <si>
    <t>Item</t>
  </si>
  <si>
    <t>URL</t>
  </si>
  <si>
    <t>Cost</t>
  </si>
  <si>
    <t>Rqd</t>
  </si>
  <si>
    <t>Total</t>
  </si>
  <si>
    <t>Weight</t>
  </si>
  <si>
    <t>Arm Full</t>
  </si>
  <si>
    <t>Midsection</t>
  </si>
  <si>
    <t>Jack Fabric</t>
  </si>
  <si>
    <t>Shipping</t>
  </si>
  <si>
    <t>Length</t>
  </si>
  <si>
    <t>Foam for Head</t>
  </si>
  <si>
    <t>http://www.homedepot.com/p/Project-Panels-2-ft-x-2-ft-Project-Panel-PP1/203553730</t>
  </si>
  <si>
    <t>tax</t>
  </si>
  <si>
    <t>Thigh</t>
  </si>
  <si>
    <t>Calf</t>
  </si>
  <si>
    <t>Hand</t>
  </si>
  <si>
    <t>Lower Torso Height</t>
  </si>
  <si>
    <t>Lower Torso Width</t>
  </si>
  <si>
    <t>Lower Torso Depth</t>
  </si>
  <si>
    <t>Upper Torso Height</t>
  </si>
  <si>
    <t>Upper Torso Width</t>
  </si>
  <si>
    <t>Upper Torsoe Depth</t>
  </si>
  <si>
    <t>Head Depth</t>
  </si>
  <si>
    <t>Head Height</t>
  </si>
  <si>
    <t>Head Width</t>
  </si>
  <si>
    <t>PVC 1" Adjustable Ell Fitting 2 Way</t>
  </si>
  <si>
    <t>Total Cost</t>
  </si>
  <si>
    <t>Premium 2-speed 12vdc wiper motor</t>
  </si>
  <si>
    <t>monsterguts.com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</si>
</sst>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>
      <selection activeCell="B5" sqref="B5"/>
    </sheetView>
  </sheetViews>
  <sheetFormatPr defaultRowHeight="15"/>
  <cols>
    <col min="1" max="1" width="16.42578125" customWidth="1"/>
    <col min="2" max="2" width="10.85546875" customWidth="1"/>
  </cols>
  <sheetData>
    <row r="1" spans="1:8">
      <c r="A1" t="s">
        <v>7</v>
      </c>
      <c r="B1">
        <v>84</v>
      </c>
    </row>
    <row r="2" spans="1:8">
      <c r="A2" t="s">
        <v>5</v>
      </c>
      <c r="B2">
        <f>B1/B9</f>
        <v>11.570247933884298</v>
      </c>
    </row>
    <row r="3" spans="1:8">
      <c r="B3" t="s">
        <v>4</v>
      </c>
    </row>
    <row r="4" spans="1:8">
      <c r="A4" t="s">
        <v>34</v>
      </c>
      <c r="B4">
        <v>0.77</v>
      </c>
      <c r="C4">
        <f>$B$2*B4*H4</f>
        <v>10.181818181818185</v>
      </c>
      <c r="F4">
        <v>5.39</v>
      </c>
      <c r="G4">
        <v>6.16</v>
      </c>
      <c r="H4">
        <f>G4/F4</f>
        <v>1.142857142857143</v>
      </c>
    </row>
    <row r="5" spans="1:8">
      <c r="A5" t="s">
        <v>35</v>
      </c>
    </row>
    <row r="6" spans="1:8">
      <c r="A6" t="s">
        <v>33</v>
      </c>
    </row>
    <row r="8" spans="1:8">
      <c r="B8" t="s">
        <v>20</v>
      </c>
    </row>
    <row r="9" spans="1:8">
      <c r="A9" t="s">
        <v>6</v>
      </c>
      <c r="B9">
        <v>7.26</v>
      </c>
      <c r="C9">
        <f t="shared" ref="C9:C25" si="0">$B$2*B9</f>
        <v>84</v>
      </c>
    </row>
    <row r="10" spans="1:8">
      <c r="A10" t="s">
        <v>0</v>
      </c>
      <c r="B10">
        <v>0.33</v>
      </c>
      <c r="C10">
        <f t="shared" si="0"/>
        <v>3.8181818181818183</v>
      </c>
    </row>
    <row r="11" spans="1:8">
      <c r="A11" t="s">
        <v>1</v>
      </c>
      <c r="B11">
        <v>1.73</v>
      </c>
      <c r="C11">
        <f t="shared" si="0"/>
        <v>20.016528925619834</v>
      </c>
    </row>
    <row r="12" spans="1:8">
      <c r="A12" t="s">
        <v>30</v>
      </c>
      <c r="B12">
        <v>0.83</v>
      </c>
      <c r="C12">
        <f t="shared" si="0"/>
        <v>9.6033057851239665</v>
      </c>
    </row>
    <row r="13" spans="1:8">
      <c r="A13" t="s">
        <v>31</v>
      </c>
      <c r="B13">
        <v>0.85</v>
      </c>
      <c r="C13">
        <f t="shared" si="0"/>
        <v>9.8347107438016526</v>
      </c>
    </row>
    <row r="14" spans="1:8">
      <c r="A14" t="s">
        <v>32</v>
      </c>
      <c r="B14">
        <v>0.66</v>
      </c>
      <c r="C14">
        <f t="shared" si="0"/>
        <v>7.6363636363636367</v>
      </c>
    </row>
    <row r="15" spans="1:8">
      <c r="A15" t="s">
        <v>17</v>
      </c>
      <c r="B15">
        <v>0.37</v>
      </c>
      <c r="C15">
        <f t="shared" si="0"/>
        <v>4.2809917355371905</v>
      </c>
    </row>
    <row r="16" spans="1:8">
      <c r="A16" t="s">
        <v>27</v>
      </c>
      <c r="B16">
        <v>0.39</v>
      </c>
      <c r="C16">
        <f t="shared" si="0"/>
        <v>4.5123966942148765</v>
      </c>
    </row>
    <row r="17" spans="1:3">
      <c r="A17" t="s">
        <v>28</v>
      </c>
      <c r="B17">
        <v>0.51</v>
      </c>
      <c r="C17">
        <f t="shared" si="0"/>
        <v>5.9008264462809921</v>
      </c>
    </row>
    <row r="18" spans="1:3">
      <c r="A18" t="s">
        <v>29</v>
      </c>
      <c r="B18">
        <v>0.39</v>
      </c>
      <c r="C18">
        <f t="shared" si="0"/>
        <v>4.5123966942148765</v>
      </c>
    </row>
    <row r="19" spans="1:3">
      <c r="A19" t="s">
        <v>16</v>
      </c>
      <c r="C19">
        <f t="shared" si="0"/>
        <v>0</v>
      </c>
    </row>
    <row r="20" spans="1:3">
      <c r="A20" t="s">
        <v>2</v>
      </c>
      <c r="B20">
        <v>1.44</v>
      </c>
      <c r="C20">
        <f t="shared" si="0"/>
        <v>16.66115702479339</v>
      </c>
    </row>
    <row r="21" spans="1:3">
      <c r="A21" t="s">
        <v>3</v>
      </c>
      <c r="B21">
        <v>1.53</v>
      </c>
      <c r="C21">
        <f t="shared" si="0"/>
        <v>17.702479338842977</v>
      </c>
    </row>
    <row r="22" spans="1:3">
      <c r="A22" t="s">
        <v>26</v>
      </c>
      <c r="B22">
        <v>0.8</v>
      </c>
      <c r="C22">
        <f t="shared" si="0"/>
        <v>9.2561983471074392</v>
      </c>
    </row>
    <row r="23" spans="1:3">
      <c r="A23" t="s">
        <v>8</v>
      </c>
      <c r="B23">
        <v>3.76</v>
      </c>
      <c r="C23">
        <f t="shared" si="0"/>
        <v>43.504132231404959</v>
      </c>
    </row>
    <row r="24" spans="1:3">
      <c r="A24" t="s">
        <v>24</v>
      </c>
      <c r="B24">
        <v>2.0099999999999998</v>
      </c>
      <c r="C24">
        <f t="shared" si="0"/>
        <v>23.256198347107436</v>
      </c>
    </row>
    <row r="25" spans="1:3">
      <c r="A25" t="s">
        <v>25</v>
      </c>
      <c r="B25">
        <v>2.13</v>
      </c>
      <c r="C25">
        <f t="shared" si="0"/>
        <v>24.644628099173552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F15" sqref="F15"/>
    </sheetView>
  </sheetViews>
  <sheetFormatPr defaultRowHeight="15"/>
  <cols>
    <col min="9" max="9" width="9.140625" style="2"/>
  </cols>
  <sheetData>
    <row r="1" spans="1:9">
      <c r="A1" t="s">
        <v>9</v>
      </c>
    </row>
    <row r="2" spans="1:9">
      <c r="A2" t="s">
        <v>10</v>
      </c>
      <c r="B2" t="s">
        <v>11</v>
      </c>
      <c r="C2" t="s">
        <v>15</v>
      </c>
      <c r="D2" t="s">
        <v>12</v>
      </c>
      <c r="E2" t="s">
        <v>13</v>
      </c>
      <c r="F2" t="s">
        <v>14</v>
      </c>
      <c r="G2" t="s">
        <v>19</v>
      </c>
      <c r="H2" t="s">
        <v>23</v>
      </c>
      <c r="I2" s="2" t="s">
        <v>14</v>
      </c>
    </row>
    <row r="3" spans="1:9">
      <c r="A3" t="s">
        <v>18</v>
      </c>
      <c r="D3">
        <v>17.5</v>
      </c>
      <c r="E3">
        <v>3</v>
      </c>
      <c r="F3">
        <f>D3*E3</f>
        <v>52.5</v>
      </c>
      <c r="G3">
        <v>6</v>
      </c>
      <c r="I3" s="2">
        <f>F3+G3</f>
        <v>58.5</v>
      </c>
    </row>
    <row r="4" spans="1:9">
      <c r="A4" t="s">
        <v>21</v>
      </c>
      <c r="B4" t="s">
        <v>22</v>
      </c>
      <c r="D4">
        <v>5.48</v>
      </c>
      <c r="E4">
        <v>11</v>
      </c>
      <c r="F4">
        <f>D4*E4</f>
        <v>60.28</v>
      </c>
      <c r="H4">
        <f>F4*1.09</f>
        <v>65.705200000000005</v>
      </c>
      <c r="I4" s="2">
        <f t="shared" ref="I4" si="0">F4+G4</f>
        <v>60.28</v>
      </c>
    </row>
    <row r="5" spans="1:9">
      <c r="A5" s="1" t="s">
        <v>36</v>
      </c>
      <c r="D5">
        <v>6.99</v>
      </c>
      <c r="E5">
        <v>8</v>
      </c>
      <c r="F5">
        <f>D5*E5</f>
        <v>55.92</v>
      </c>
      <c r="G5">
        <v>6.99</v>
      </c>
      <c r="H5">
        <f>F5*0.075</f>
        <v>4.194</v>
      </c>
      <c r="I5" s="2">
        <f>SUM(F5:H5)</f>
        <v>67.103999999999999</v>
      </c>
    </row>
    <row r="6" spans="1:9">
      <c r="A6" t="s">
        <v>38</v>
      </c>
      <c r="B6" t="s">
        <v>39</v>
      </c>
      <c r="D6">
        <v>27.9</v>
      </c>
      <c r="E6">
        <v>1</v>
      </c>
      <c r="F6">
        <f>D6*E6</f>
        <v>27.9</v>
      </c>
      <c r="G6">
        <v>11.95</v>
      </c>
      <c r="H6">
        <f>F6*0.09</f>
        <v>2.5109999999999997</v>
      </c>
      <c r="I6" s="2">
        <f>SUM(F6:H6)</f>
        <v>42.360999999999997</v>
      </c>
    </row>
    <row r="11" spans="1:9">
      <c r="H11" t="s">
        <v>37</v>
      </c>
      <c r="I11" s="2">
        <f>SUM(I3:I10)</f>
        <v>228.245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 &amp; Lengths</vt:lpstr>
      <vt:lpstr>BOM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James Connolly</dc:creator>
  <cp:lastModifiedBy>Matthew James Connolly</cp:lastModifiedBy>
  <dcterms:created xsi:type="dcterms:W3CDTF">2015-10-05T21:07:52Z</dcterms:created>
  <dcterms:modified xsi:type="dcterms:W3CDTF">2015-10-15T15:33:37Z</dcterms:modified>
</cp:coreProperties>
</file>